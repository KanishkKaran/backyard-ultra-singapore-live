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c0554234f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Results" sheetId="1" r:id="R367bf636b39c4be9"/>
    <x:sheet xmlns:r="http://schemas.openxmlformats.org/officeDocument/2006/relationships" name="Lap Log" sheetId="2" r:id="R827de95ab8164b94"/>
    <x:sheet xmlns:r="http://schemas.openxmlformats.org/officeDocument/2006/relationships" name="Instructions" sheetId="3" r:id="R338b344eed19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[m]:ss"/>
    <x:numFmt numFmtId="202" formatCode="0.0"/>
    <x:numFmt numFmtId="203" formatCode="0%"/>
    <x:numFmt numFmtId="204" formatCode="yyyy-mm-dd hh:mm:ss"/>
  </x:numFmts>
  <x:fonts count="8">
    <x:font>
      <x:sz val="11"/>
      <x:name val="Carlito"/>
    </x:font>
    <x:font>
      <x:b/>
      <x:sz val="18"/>
      <x:color rgb="FFC7FF18"/>
      <x:name val="Carlito"/>
    </x:font>
    <x:font>
      <x:i/>
      <x:sz val="11"/>
      <x:color rgb="FFD7DACF"/>
      <x:name val="Carlito"/>
    </x:font>
    <x:font>
      <x:b/>
      <x:sz val="11"/>
      <x:color rgb="FF080908"/>
      <x:name val="Carlito"/>
    </x:font>
    <x:font>
      <x:sz val="11"/>
      <x:color rgb="FFEEEAE0"/>
      <x:name val="Carlito"/>
    </x:font>
    <x:font>
      <x:b/>
      <x:sz val="16"/>
      <x:color rgb="FFC7FF18"/>
      <x:name val="Carlito"/>
    </x:font>
    <x:font>
      <x:b/>
      <x:sz val="11"/>
      <x:color rgb="FFFFFFFF"/>
      <x:name val="Carlito"/>
    </x:font>
    <x:font>
      <x:sz val="11"/>
      <x:color rgb="FF1213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0908"/>
      </x:patternFill>
    </x:fill>
    <x:fill>
      <x:patternFill patternType="solid">
        <x:fgColor rgb="FF171A15"/>
      </x:patternFill>
    </x:fill>
    <x:fill>
      <x:patternFill patternType="solid">
        <x:fgColor rgb="FFC7FF18"/>
      </x:patternFill>
    </x:fill>
    <x:fill>
      <x:patternFill patternType="solid">
        <x:fgColor rgb="FF10120F"/>
      </x:patternFill>
    </x:fill>
    <x:fill>
      <x:patternFill patternType="solid">
        <x:fgColor rgb="FF2A2818"/>
      </x:patternFill>
    </x:fill>
    <x:fill>
      <x:patternFill patternType="solid">
        <x:fgColor rgb="FFFF4B1F"/>
      </x:patternFill>
    </x:fill>
    <x:fill>
      <x:patternFill patternType="solid">
        <x:fgColor rgb="FFF2EFE4"/>
      </x:patternFill>
    </x:fill>
  </x:fills>
  <x:borders count="13">
    <x:border/>
    <x:border>
      <x:right style="thin">
        <x:color rgb="FF7F9D20"/>
      </x:right>
    </x:border>
    <x:border>
      <x:left style="thin">
        <x:color rgb="FF7F9D20"/>
      </x:left>
      <x:right style="thin">
        <x:color rgb="FF7F9D20"/>
      </x:right>
    </x:border>
    <x:border>
      <x:left style="thin">
        <x:color rgb="FF7F9D20"/>
      </x:left>
    </x:border>
    <x:border>
      <x:right style="thin">
        <x:color rgb="FF30342D"/>
      </x:right>
      <x:bottom style="thin">
        <x:color rgb="FF30342D"/>
      </x:bottom>
    </x:border>
    <x:border>
      <x:left style="thin">
        <x:color rgb="FF30342D"/>
      </x:left>
      <x:right style="thin">
        <x:color rgb="FF30342D"/>
      </x:right>
      <x:bottom style="thin">
        <x:color rgb="FF30342D"/>
      </x:bottom>
    </x:border>
    <x:border>
      <x:left style="thin">
        <x:color rgb="FF30342D"/>
      </x:left>
      <x:bottom style="thin">
        <x:color rgb="FF30342D"/>
      </x:bottom>
    </x:border>
    <x:border>
      <x:right style="thin">
        <x:color rgb="FF30342D"/>
      </x:right>
      <x:top style="thin">
        <x:color rgb="FF30342D"/>
      </x:top>
      <x:bottom style="thin">
        <x:color rgb="FF30342D"/>
      </x:bottom>
    </x:border>
    <x:border>
      <x:left style="thin">
        <x:color rgb="FF30342D"/>
      </x:left>
      <x:right style="thin">
        <x:color rgb="FF30342D"/>
      </x:right>
      <x:top style="thin">
        <x:color rgb="FF30342D"/>
      </x:top>
      <x:bottom style="thin">
        <x:color rgb="FF30342D"/>
      </x:bottom>
    </x:border>
    <x:border>
      <x:left style="thin">
        <x:color rgb="FF30342D"/>
      </x:left>
      <x:top style="thin">
        <x:color rgb="FF30342D"/>
      </x:top>
      <x:bottom style="thin">
        <x:color rgb="FF30342D"/>
      </x:bottom>
    </x:border>
    <x:border>
      <x:right style="thin">
        <x:color rgb="FF30342D"/>
      </x:right>
      <x:top style="thin">
        <x:color rgb="FF30342D"/>
      </x:top>
    </x:border>
    <x:border>
      <x:left style="thin">
        <x:color rgb="FF30342D"/>
      </x:left>
      <x:right style="thin">
        <x:color rgb="FF30342D"/>
      </x:right>
      <x:top style="thin">
        <x:color rgb="FF30342D"/>
      </x:top>
    </x:border>
    <x:border>
      <x:left style="thin">
        <x:color rgb="FF30342D"/>
      </x:left>
      <x:top style="thin">
        <x:color rgb="FF30342D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6" borderId="5" xfId="0" applyNumberFormat="1" applyFont="1" applyFill="1" applyBorder="1"/>
    <x:xf numFmtId="0" fontId="4" fillId="6" borderId="8" xfId="0" applyNumberFormat="1" applyFont="1" applyFill="1" applyBorder="1"/>
    <x:xf numFmtId="0" fontId="4" fillId="6" borderId="11" xfId="0" applyNumberFormat="1" applyFont="1" applyFill="1" applyBorder="1"/>
    <x:xf numFmtId="0" fontId="4" fillId="6" borderId="6" xfId="0" applyNumberFormat="1" applyFont="1" applyFill="1" applyBorder="1"/>
    <x:xf numFmtId="0" fontId="4" fillId="6" borderId="9" xfId="0" applyNumberFormat="1" applyFont="1" applyFill="1" applyBorder="1"/>
    <x:xf numFmtId="0" fontId="4" fillId="6" borderId="1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11" xfId="0" applyNumberFormat="1" applyFont="1" applyFill="1" applyBorder="1"/>
    <x:xf numFmtId="200" fontId="4" fillId="6" borderId="5" xfId="0" applyNumberFormat="1" applyFont="1" applyFill="1" applyBorder="1"/>
    <x:xf numFmtId="200" fontId="4" fillId="6" borderId="8" xfId="0" applyNumberFormat="1" applyFont="1" applyFill="1" applyBorder="1"/>
    <x:xf numFmtId="200" fontId="4" fillId="6" borderId="11" xfId="0" applyNumberFormat="1" applyFont="1" applyFill="1" applyBorder="1"/>
    <x:xf numFmtId="201" fontId="4" fillId="6" borderId="5" xfId="0" applyNumberFormat="1" applyFont="1" applyFill="1" applyBorder="1"/>
    <x:xf numFmtId="201" fontId="4" fillId="5" borderId="5" xfId="0" applyNumberFormat="1" applyFont="1" applyFill="1" applyBorder="1"/>
    <x:xf numFmtId="201" fontId="4" fillId="6" borderId="8" xfId="0" applyNumberFormat="1" applyFont="1" applyFill="1" applyBorder="1"/>
    <x:xf numFmtId="201" fontId="4" fillId="5" borderId="8" xfId="0" applyNumberFormat="1" applyFont="1" applyFill="1" applyBorder="1"/>
    <x:xf numFmtId="201" fontId="4" fillId="6" borderId="11" xfId="0" applyNumberFormat="1" applyFont="1" applyFill="1" applyBorder="1"/>
    <x:xf numFmtId="201" fontId="4" fillId="5" borderId="11" xfId="0" applyNumberFormat="1" applyFont="1" applyFill="1" applyBorder="1"/>
    <x:xf numFmtId="202" fontId="4" fillId="5" borderId="5" xfId="0" applyNumberFormat="1" applyFont="1" applyFill="1" applyBorder="1"/>
    <x:xf numFmtId="202" fontId="4" fillId="5" borderId="8" xfId="0" applyNumberFormat="1" applyFont="1" applyFill="1" applyBorder="1"/>
    <x:xf numFmtId="202" fontId="4" fillId="5" borderId="11" xfId="0" applyNumberFormat="1" applyFont="1" applyFill="1" applyBorder="1"/>
    <x:xf numFmtId="203" fontId="4" fillId="6" borderId="5" xfId="0" applyNumberFormat="1" applyFont="1" applyFill="1" applyBorder="1"/>
    <x:xf numFmtId="203" fontId="4" fillId="6" borderId="8" xfId="0" applyNumberFormat="1" applyFont="1" applyFill="1" applyBorder="1"/>
    <x:xf numFmtId="203" fontId="4" fillId="6" borderId="11" xfId="0" applyNumberFormat="1" applyFont="1" applyFill="1" applyBorder="1"/>
    <x:xf numFmtId="204" fontId="4" fillId="6" borderId="5" xfId="0" applyNumberFormat="1" applyFont="1" applyFill="1" applyBorder="1"/>
    <x:xf numFmtId="204" fontId="4" fillId="6" borderId="8" xfId="0" applyNumberFormat="1" applyFont="1" applyFill="1" applyBorder="1"/>
    <x:xf numFmtId="204" fontId="4" fillId="6" borderId="1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2" xfId="0" applyNumberFormat="1" applyFont="1" applyFill="1" applyBorder="1" applyAlignment="1">
      <x:alignment wrapText="0"/>
    </x:xf>
    <x:xf numFmtId="0" fontId="3" fillId="4" borderId="3" xfId="0" applyNumberFormat="1" applyFont="1" applyFill="1" applyBorder="1" applyAlignment="1">
      <x:alignment wrapText="0"/>
    </x:xf>
    <x:xf numFmtId="0" fontId="4" fillId="5" borderId="4" xfId="0" applyNumberFormat="1" applyFont="1" applyFill="1" applyBorder="1" applyAlignment="1">
      <x:alignment wrapText="0"/>
    </x:xf>
    <x:xf numFmtId="200" fontId="4" fillId="5" borderId="5" xfId="0" applyNumberFormat="1" applyFont="1" applyFill="1" applyBorder="1" applyAlignment="1">
      <x:alignment wrapText="0"/>
    </x:xf>
    <x:xf numFmtId="0" fontId="4" fillId="5" borderId="5" xfId="0" applyNumberFormat="1" applyFont="1" applyFill="1" applyBorder="1" applyAlignment="1">
      <x:alignment wrapText="0"/>
    </x:xf>
    <x:xf numFmtId="0" fontId="4" fillId="6" borderId="5" xfId="0" applyNumberFormat="1" applyFont="1" applyFill="1" applyBorder="1" applyAlignment="1">
      <x:alignment wrapText="0"/>
    </x:xf>
    <x:xf numFmtId="200" fontId="4" fillId="6" borderId="5" xfId="0" applyNumberFormat="1" applyFont="1" applyFill="1" applyBorder="1" applyAlignment="1">
      <x:alignment wrapText="0"/>
    </x:xf>
    <x:xf numFmtId="201" fontId="4" fillId="6" borderId="5" xfId="0" applyNumberFormat="1" applyFont="1" applyFill="1" applyBorder="1" applyAlignment="1">
      <x:alignment wrapText="0"/>
    </x:xf>
    <x:xf numFmtId="201" fontId="4" fillId="5" borderId="5" xfId="0" applyNumberFormat="1" applyFont="1" applyFill="1" applyBorder="1" applyAlignment="1">
      <x:alignment wrapText="0"/>
    </x:xf>
    <x:xf numFmtId="202" fontId="4" fillId="5" borderId="5" xfId="0" applyNumberFormat="1" applyFont="1" applyFill="1" applyBorder="1" applyAlignment="1">
      <x:alignment wrapText="0"/>
    </x:xf>
    <x:xf numFmtId="203" fontId="4" fillId="6" borderId="5" xfId="0" applyNumberFormat="1" applyFont="1" applyFill="1" applyBorder="1" applyAlignment="1">
      <x:alignment wrapText="0"/>
    </x:xf>
    <x:xf numFmtId="204" fontId="4" fillId="6" borderId="5" xfId="0" applyNumberFormat="1" applyFont="1" applyFill="1" applyBorder="1" applyAlignment="1">
      <x:alignment wrapText="0"/>
    </x:xf>
    <x:xf numFmtId="0" fontId="4" fillId="6" borderId="6" xfId="0" applyNumberFormat="1" applyFont="1" applyFill="1" applyBorder="1" applyAlignment="1">
      <x:alignment wrapText="0"/>
    </x:xf>
    <x:xf numFmtId="0" fontId="4" fillId="5" borderId="7" xfId="0" applyNumberFormat="1" applyFont="1" applyFill="1" applyBorder="1" applyAlignment="1">
      <x:alignment wrapText="0"/>
    </x:xf>
    <x:xf numFmtId="200" fontId="4" fillId="5" borderId="8" xfId="0" applyNumberFormat="1" applyFont="1" applyFill="1" applyBorder="1" applyAlignment="1">
      <x:alignment wrapText="0"/>
    </x:xf>
    <x:xf numFmtId="0" fontId="4" fillId="5" borderId="8" xfId="0" applyNumberFormat="1" applyFont="1" applyFill="1" applyBorder="1" applyAlignment="1">
      <x:alignment wrapText="0"/>
    </x:xf>
    <x:xf numFmtId="0" fontId="4" fillId="6" borderId="8" xfId="0" applyNumberFormat="1" applyFont="1" applyFill="1" applyBorder="1" applyAlignment="1">
      <x:alignment wrapText="0"/>
    </x:xf>
    <x:xf numFmtId="200" fontId="4" fillId="6" borderId="8" xfId="0" applyNumberFormat="1" applyFont="1" applyFill="1" applyBorder="1" applyAlignment="1">
      <x:alignment wrapText="0"/>
    </x:xf>
    <x:xf numFmtId="201" fontId="4" fillId="6" borderId="8" xfId="0" applyNumberFormat="1" applyFont="1" applyFill="1" applyBorder="1" applyAlignment="1">
      <x:alignment wrapText="0"/>
    </x:xf>
    <x:xf numFmtId="201" fontId="4" fillId="5" borderId="8" xfId="0" applyNumberFormat="1" applyFont="1" applyFill="1" applyBorder="1" applyAlignment="1">
      <x:alignment wrapText="0"/>
    </x:xf>
    <x:xf numFmtId="202" fontId="4" fillId="5" borderId="8" xfId="0" applyNumberFormat="1" applyFont="1" applyFill="1" applyBorder="1" applyAlignment="1">
      <x:alignment wrapText="0"/>
    </x:xf>
    <x:xf numFmtId="203" fontId="4" fillId="6" borderId="8" xfId="0" applyNumberFormat="1" applyFont="1" applyFill="1" applyBorder="1" applyAlignment="1">
      <x:alignment wrapText="0"/>
    </x:xf>
    <x:xf numFmtId="204" fontId="4" fillId="6" borderId="8" xfId="0" applyNumberFormat="1" applyFont="1" applyFill="1" applyBorder="1" applyAlignment="1">
      <x:alignment wrapText="0"/>
    </x:xf>
    <x:xf numFmtId="0" fontId="4" fillId="6" borderId="9" xfId="0" applyNumberFormat="1" applyFont="1" applyFill="1" applyBorder="1" applyAlignment="1">
      <x:alignment wrapText="0"/>
    </x:xf>
    <x:xf numFmtId="0" fontId="4" fillId="5" borderId="10" xfId="0" applyNumberFormat="1" applyFont="1" applyFill="1" applyBorder="1" applyAlignment="1">
      <x:alignment wrapText="0"/>
    </x:xf>
    <x:xf numFmtId="200" fontId="4" fillId="5" borderId="11" xfId="0" applyNumberFormat="1" applyFont="1" applyFill="1" applyBorder="1" applyAlignment="1">
      <x:alignment wrapText="0"/>
    </x:xf>
    <x:xf numFmtId="0" fontId="4" fillId="5" borderId="11" xfId="0" applyNumberFormat="1" applyFont="1" applyFill="1" applyBorder="1" applyAlignment="1">
      <x:alignment wrapText="0"/>
    </x:xf>
    <x:xf numFmtId="0" fontId="4" fillId="6" borderId="11" xfId="0" applyNumberFormat="1" applyFont="1" applyFill="1" applyBorder="1" applyAlignment="1">
      <x:alignment wrapText="0"/>
    </x:xf>
    <x:xf numFmtId="200" fontId="4" fillId="6" borderId="11" xfId="0" applyNumberFormat="1" applyFont="1" applyFill="1" applyBorder="1" applyAlignment="1">
      <x:alignment wrapText="0"/>
    </x:xf>
    <x:xf numFmtId="201" fontId="4" fillId="6" borderId="11" xfId="0" applyNumberFormat="1" applyFont="1" applyFill="1" applyBorder="1" applyAlignment="1">
      <x:alignment wrapText="0"/>
    </x:xf>
    <x:xf numFmtId="201" fontId="4" fillId="5" borderId="11" xfId="0" applyNumberFormat="1" applyFont="1" applyFill="1" applyBorder="1" applyAlignment="1">
      <x:alignment wrapText="0"/>
    </x:xf>
    <x:xf numFmtId="202" fontId="4" fillId="5" borderId="11" xfId="0" applyNumberFormat="1" applyFont="1" applyFill="1" applyBorder="1" applyAlignment="1">
      <x:alignment wrapText="0"/>
    </x:xf>
    <x:xf numFmtId="203" fontId="4" fillId="6" borderId="11" xfId="0" applyNumberFormat="1" applyFont="1" applyFill="1" applyBorder="1" applyAlignment="1">
      <x:alignment wrapText="0"/>
    </x:xf>
    <x:xf numFmtId="204" fontId="4" fillId="6" borderId="11" xfId="0" applyNumberFormat="1" applyFont="1" applyFill="1" applyBorder="1" applyAlignment="1">
      <x:alignment wrapText="0"/>
    </x:xf>
    <x:xf numFmtId="0" fontId="4" fillId="6" borderId="12" xfId="0" applyNumberFormat="1" applyFont="1" applyFill="1" applyBorder="1" applyAlignment="1">
      <x:alignment wrapText="0"/>
    </x:xf>
    <x:xf numFmtId="0" fontId="4" fillId="6" borderId="6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204" fontId="4" fillId="5" borderId="5" xfId="0" applyNumberFormat="1" applyFont="1" applyFill="1" applyBorder="1"/>
    <x:xf numFmtId="204" fontId="4" fillId="5" borderId="8" xfId="0" applyNumberFormat="1" applyFont="1" applyFill="1" applyBorder="1"/>
    <x:xf numFmtId="204" fontId="4" fillId="5" borderId="1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C7FF18"/>
      </x:font>
      <x:fill>
        <x:patternFill patternType="solid">
          <x:bgColor rgb="FF17391E"/>
        </x:patternFill>
      </x:fill>
    </x:dxf>
    <x:dxf>
      <x:font>
        <x:b/>
        <x:color rgb="FFF0F7D2"/>
      </x:font>
      <x:fill>
        <x:patternFill patternType="solid">
          <x:bgColor rgb="FF24351B"/>
        </x:patternFill>
      </x:fill>
    </x:dxf>
    <x:dxf>
      <x:font>
        <x:b/>
        <x:color rgb="FFFF8A67"/>
      </x:font>
      <x:fill>
        <x:patternFill patternType="solid">
          <x:bgColor rgb="FF4A1E1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4569475ef4df7" /><Relationship Type="http://schemas.openxmlformats.org/officeDocument/2006/relationships/theme" Target="/xl/theme/theme1.xml" Id="Ra538226db2d54652" /><Relationship Type="http://schemas.openxmlformats.org/officeDocument/2006/relationships/sharedStrings" Target="/xl/sharedStrings.xml" Id="Ra850e0c7ff2444b0" /><Relationship Type="http://schemas.openxmlformats.org/officeDocument/2006/relationships/worksheet" Target="/xl/worksheets/sheet1.xml" Id="R367bf636b39c4be9" /><Relationship Type="http://schemas.openxmlformats.org/officeDocument/2006/relationships/worksheet" Target="/xl/worksheets/sheet2.xml" Id="R827de95ab8164b94" /><Relationship Type="http://schemas.openxmlformats.org/officeDocument/2006/relationships/worksheet" Target="/xl/worksheets/sheet3.xml" Id="R338b344eed1944ac" /><Relationship Type="http://schemas.microsoft.com/office/2017/10/relationships/person" Target="/xl/persons/person.xml" Id="R32ef0f3864764d13" /></Relationships>
</file>

<file path=xl/persons/person.xml><?xml version="1.0" encoding="utf-8"?>
<xltc:personList xmlns:xltc="http://schemas.microsoft.com/office/spreadsheetml/2018/threadedcomments">
  <xltc:person displayName="Kanishk Karan" id="{C6369002-907B-413D-BE3E-29019D3BAF97}"/>
</xltc:personList>
</file>

<file path=xl/tables/table1.xml><?xml version="1.0" encoding="utf-8"?>
<x:table xmlns:x="http://schemas.openxmlformats.org/spreadsheetml/2006/main" id="1" name="LiveResultsTable" displayName="LiveResultsTable" ref="A4:M19" headerRowCount="1" totalsRowCount="0" totalsRowShown="0">
  <x:tableColumns count="13">
    <x:tableColumn id="1" name="Athlete ID"/>
    <x:tableColumn id="2" name="Bib"/>
    <x:tableColumn id="3" name="Athlete"/>
    <x:tableColumn id="4" name="Status"/>
    <x:tableColumn id="5" name="Yards Completed"/>
    <x:tableColumn id="6" name="Current Yard"/>
    <x:tableColumn id="7" name="Last Lap"/>
    <x:tableColumn id="8" name="Average Lap"/>
    <x:tableColumn id="9" name="Rest / Yard"/>
    <x:tableColumn id="10" name="Distance (km)"/>
    <x:tableColumn id="11" name="Course Progress %"/>
    <x:tableColumn id="12" name="Updated At"/>
    <x:tableColumn id="13" name="Not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LapLogTable" displayName="LapLogTable" ref="A3:H18" headerRowCount="1" totalsRowCount="0" totalsRowShown="0">
  <x:tableColumns count="8">
    <x:tableColumn id="1" name="Athlete ID"/>
    <x:tableColumn id="2" name="Bib"/>
    <x:tableColumn id="3" name="Athlete"/>
    <x:tableColumn id="4" name="Yard"/>
    <x:tableColumn id="5" name="Lap Time"/>
    <x:tableColumn id="6" name="Finish Time"/>
    <x:tableColumn id="7" name="Status"/>
    <x:tableColumn id="8" name="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8c6959ab1a4b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d8b5bcaddd42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.109999895095825" hidden="0" customWidth="1"/>
    <x:col min="3" max="3" width="22" hidden="0" customWidth="1"/>
    <x:col min="4" max="4" width="13" hidden="0" customWidth="1"/>
    <x:col min="5" max="5" width="13.890000343322754" hidden="0" customWidth="1"/>
    <x:col min="6" max="6" width="10.4399995803833" hidden="0" customWidth="1"/>
    <x:col min="7" max="7" width="7.21999979019165" hidden="0" customWidth="1"/>
    <x:col min="8" max="8" width="10.220000267028809" hidden="0" customWidth="1"/>
    <x:col min="9" max="9" width="9" hidden="0" customWidth="1"/>
    <x:col min="10" max="10" width="11.220000267028809" hidden="0" customWidth="1"/>
    <x:col min="11" max="11" width="15.5600004196167" hidden="0" customWidth="1"/>
    <x:col min="12" max="12" width="21" hidden="0" customWidth="1"/>
    <x:col min="13" max="13" width="25" hidden="0" customWidth="1"/>
  </x:cols>
  <x:sheetData>
    <x:row r="1" ht="34" customHeight="1">
      <x:c r="A1" s="2" t="str">
        <x:v>BEACH BACKYARD ULTRA · LIVE RESULTS FEED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4" t="str">
        <x:v>Edit the pale-yellow input columns. The website polls the CSV export of this sheet every 20 seconds.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34" customHeight="1">
      <x:c r="A4" s="51" t="str">
        <x:v>Athlete ID</x:v>
      </x:c>
      <x:c r="B4" s="52" t="str">
        <x:v>Bib</x:v>
      </x:c>
      <x:c r="C4" s="52" t="str">
        <x:v>Athlete</x:v>
      </x:c>
      <x:c r="D4" s="52" t="str">
        <x:v>Status</x:v>
      </x:c>
      <x:c r="E4" s="52" t="str">
        <x:v>Yards Completed</x:v>
      </x:c>
      <x:c r="F4" s="52" t="str">
        <x:v>Current Yard</x:v>
      </x:c>
      <x:c r="G4" s="52" t="str">
        <x:v>Last Lap</x:v>
      </x:c>
      <x:c r="H4" s="52" t="str">
        <x:v>Average Lap</x:v>
      </x:c>
      <x:c r="I4" s="52" t="str">
        <x:v>Rest / Yard</x:v>
      </x:c>
      <x:c r="J4" s="52" t="str">
        <x:v>Distance (km)</x:v>
      </x:c>
      <x:c r="K4" s="52" t="str">
        <x:v>Course Progress %</x:v>
      </x:c>
      <x:c r="L4" s="52" t="str">
        <x:v>Updated At</x:v>
      </x:c>
      <x:c r="M4" s="53" t="str">
        <x:v>Note</x:v>
      </x:c>
    </x:row>
    <x:row r="5" ht="24" customHeight="1">
      <x:c r="A5" s="54" t="str">
        <x:v>SGP-001</x:v>
      </x:c>
      <x:c r="B5" s="55" t="n">
        <x:v>1</x:v>
      </x:c>
      <x:c r="C5" s="56" t="str">
        <x:v>Joshua Toh</x:v>
      </x:c>
      <x:c r="D5" s="57" t="str">
        <x:v>On course</x:v>
      </x:c>
      <x:c r="E5" s="58" t="n">
        <x:v>8</x:v>
      </x:c>
      <x:c r="F5" s="58" t="n">
        <x:v>9</x:v>
      </x:c>
      <x:c r="G5" s="59" t="n">
        <x:v>0.03215277777777778</x:v>
      </x:c>
      <x:c r="H5" s="59" t="n">
        <x:v>0.032685185185185185</x:v>
      </x:c>
      <x:c r="I5" s="60" t="n">
        <x:f>IF(H5="","",TIME(1,0,0)-H5)</x:f>
        <x:v>0.00898148148148148</x:v>
      </x:c>
      <x:c r="J5" s="61" t="n">
        <x:f>E5*6.7056</x:f>
        <x:v>53.6448</x:v>
      </x:c>
      <x:c r="K5" s="62" t="n">
        <x:v>0.72</x:v>
      </x:c>
      <x:c r="L5" s="63" t="n">
        <x:v>46313.08888888889</x:v>
      </x:c>
      <x:c r="M5" s="87" t="str"/>
    </x:row>
    <x:row r="6" ht="24" customHeight="1">
      <x:c r="A6" s="65" t="str">
        <x:v>SGP-002</x:v>
      </x:c>
      <x:c r="B6" s="66" t="n">
        <x:v>2</x:v>
      </x:c>
      <x:c r="C6" s="67" t="str">
        <x:v>Nguyen Dang Trung</x:v>
      </x:c>
      <x:c r="D6" s="68" t="str">
        <x:v>In corral</x:v>
      </x:c>
      <x:c r="E6" s="69" t="n">
        <x:v>8</x:v>
      </x:c>
      <x:c r="F6" s="69" t="n">
        <x:v>9</x:v>
      </x:c>
      <x:c r="G6" s="70" t="n">
        <x:v>0.031157407407407408</x:v>
      </x:c>
      <x:c r="H6" s="70" t="n">
        <x:v>0.032303240740740743</x:v>
      </x:c>
      <x:c r="I6" s="71" t="n">
        <x:f>IF(H6="","",TIME(1,0,0)-H6)</x:f>
        <x:v>0.009363425925925921</x:v>
      </x:c>
      <x:c r="J6" s="72" t="n">
        <x:f>E6*6.7056</x:f>
        <x:v>53.6448</x:v>
      </x:c>
      <x:c r="K6" s="73" t="n">
        <x:v>1</x:v>
      </x:c>
      <x:c r="L6" s="74" t="n">
        <x:v>46313.086805555555</x:v>
      </x:c>
      <x:c r="M6" s="88" t="str">
        <x:v>Ready for next bell</x:v>
      </x:c>
    </x:row>
    <x:row r="7" ht="24" customHeight="1">
      <x:c r="A7" s="65" t="str">
        <x:v>SGP-003</x:v>
      </x:c>
      <x:c r="B7" s="66" t="n">
        <x:v>3</x:v>
      </x:c>
      <x:c r="C7" s="67" t="str">
        <x:v>Ned Phillips</x:v>
      </x:c>
      <x:c r="D7" s="68" t="str">
        <x:v>On course</x:v>
      </x:c>
      <x:c r="E7" s="69" t="n">
        <x:v>8</x:v>
      </x:c>
      <x:c r="F7" s="69" t="n">
        <x:v>9</x:v>
      </x:c>
      <x:c r="G7" s="70" t="n">
        <x:v>0.033414351851851855</x:v>
      </x:c>
      <x:c r="H7" s="70" t="n">
        <x:v>0.033125</x:v>
      </x:c>
      <x:c r="I7" s="71" t="n">
        <x:f>IF(H7="","",TIME(1,0,0)-H7)</x:f>
        <x:v>0.008541666666666663</x:v>
      </x:c>
      <x:c r="J7" s="72" t="n">
        <x:f>E7*6.7056</x:f>
        <x:v>53.6448</x:v>
      </x:c>
      <x:c r="K7" s="73" t="n">
        <x:v>0.68</x:v>
      </x:c>
      <x:c r="L7" s="74" t="n">
        <x:v>46313.08888888889</x:v>
      </x:c>
      <x:c r="M7" s="88" t="str"/>
    </x:row>
    <x:row r="8" ht="24" customHeight="1">
      <x:c r="A8" s="65" t="str">
        <x:v>SGP-004</x:v>
      </x:c>
      <x:c r="B8" s="66" t="n">
        <x:v>4</x:v>
      </x:c>
      <x:c r="C8" s="67" t="str">
        <x:v>Chris Timms</x:v>
      </x:c>
      <x:c r="D8" s="68" t="str">
        <x:v>On course</x:v>
      </x:c>
      <x:c r="E8" s="69" t="n">
        <x:v>8</x:v>
      </x:c>
      <x:c r="F8" s="69" t="n">
        <x:v>9</x:v>
      </x:c>
      <x:c r="G8" s="70" t="n">
        <x:v>0.034166666666666665</x:v>
      </x:c>
      <x:c r="H8" s="70" t="n">
        <x:v>0.03351851851851852</x:v>
      </x:c>
      <x:c r="I8" s="71" t="n">
        <x:f>IF(H8="","",TIME(1,0,0)-H8)</x:f>
        <x:v>0.008148148148148147</x:v>
      </x:c>
      <x:c r="J8" s="72" t="n">
        <x:f>E8*6.7056</x:f>
        <x:v>53.6448</x:v>
      </x:c>
      <x:c r="K8" s="73" t="n">
        <x:v>0.61</x:v>
      </x:c>
      <x:c r="L8" s="74" t="n">
        <x:v>46313.08888888889</x:v>
      </x:c>
      <x:c r="M8" s="88" t="str"/>
    </x:row>
    <x:row r="9" ht="24" customHeight="1">
      <x:c r="A9" s="65" t="str">
        <x:v>SGP-005</x:v>
      </x:c>
      <x:c r="B9" s="66" t="n">
        <x:v>5</x:v>
      </x:c>
      <x:c r="C9" s="67" t="str">
        <x:v>Andrey Kolbasov</x:v>
      </x:c>
      <x:c r="D9" s="68" t="str">
        <x:v>In corral</x:v>
      </x:c>
      <x:c r="E9" s="69" t="n">
        <x:v>8</x:v>
      </x:c>
      <x:c r="F9" s="69" t="n">
        <x:v>9</x:v>
      </x:c>
      <x:c r="G9" s="70" t="n">
        <x:v>0.03175925925925926</x:v>
      </x:c>
      <x:c r="H9" s="70" t="n">
        <x:v>0.032615740740740744</x:v>
      </x:c>
      <x:c r="I9" s="71" t="n">
        <x:f>IF(H9="","",TIME(1,0,0)-H9)</x:f>
        <x:v>0.00905092592592592</x:v>
      </x:c>
      <x:c r="J9" s="72" t="n">
        <x:f>E9*6.7056</x:f>
        <x:v>53.6448</x:v>
      </x:c>
      <x:c r="K9" s="73" t="n">
        <x:v>1</x:v>
      </x:c>
      <x:c r="L9" s="74" t="n">
        <x:v>46313.0875</x:v>
      </x:c>
      <x:c r="M9" s="88" t="str"/>
    </x:row>
    <x:row r="10" ht="24" customHeight="1">
      <x:c r="A10" s="65" t="str">
        <x:v>SGP-006</x:v>
      </x:c>
      <x:c r="B10" s="66" t="n">
        <x:v>6</x:v>
      </x:c>
      <x:c r="C10" s="67" t="str">
        <x:v>Khoo Houw Ann</x:v>
      </x:c>
      <x:c r="D10" s="68" t="str">
        <x:v>On course</x:v>
      </x:c>
      <x:c r="E10" s="69" t="n">
        <x:v>8</x:v>
      </x:c>
      <x:c r="F10" s="69" t="n">
        <x:v>9</x:v>
      </x:c>
      <x:c r="G10" s="70" t="n">
        <x:v>0.03502314814814815</x:v>
      </x:c>
      <x:c r="H10" s="70" t="n">
        <x:v>0.03423611111111111</x:v>
      </x:c>
      <x:c r="I10" s="71" t="n">
        <x:f>IF(H10="","",TIME(1,0,0)-H10)</x:f>
        <x:v>0.007430555555555551</x:v>
      </x:c>
      <x:c r="J10" s="72" t="n">
        <x:f>E10*6.7056</x:f>
        <x:v>53.6448</x:v>
      </x:c>
      <x:c r="K10" s="73" t="n">
        <x:v>0.55</x:v>
      </x:c>
      <x:c r="L10" s="74" t="n">
        <x:v>46313.08888888889</x:v>
      </x:c>
      <x:c r="M10" s="88" t="str"/>
    </x:row>
    <x:row r="11" ht="24" customHeight="1">
      <x:c r="A11" s="65" t="str">
        <x:v>SGP-007</x:v>
      </x:c>
      <x:c r="B11" s="66" t="n">
        <x:v>7</x:v>
      </x:c>
      <x:c r="C11" s="67" t="str">
        <x:v>Sophia Yee</x:v>
      </x:c>
      <x:c r="D11" s="68" t="str">
        <x:v>On course</x:v>
      </x:c>
      <x:c r="E11" s="69" t="n">
        <x:v>8</x:v>
      </x:c>
      <x:c r="F11" s="69" t="n">
        <x:v>9</x:v>
      </x:c>
      <x:c r="G11" s="70" t="n">
        <x:v>0.033275462962962965</x:v>
      </x:c>
      <x:c r="H11" s="70" t="n">
        <x:v>0.033368055555555554</x:v>
      </x:c>
      <x:c r="I11" s="71" t="n">
        <x:f>IF(H11="","",TIME(1,0,0)-H11)</x:f>
        <x:v>0.00829861111111111</x:v>
      </x:c>
      <x:c r="J11" s="72" t="n">
        <x:f>E11*6.7056</x:f>
        <x:v>53.6448</x:v>
      </x:c>
      <x:c r="K11" s="73" t="n">
        <x:v>0.65</x:v>
      </x:c>
      <x:c r="L11" s="74" t="n">
        <x:v>46313.08888888889</x:v>
      </x:c>
      <x:c r="M11" s="88" t="str"/>
    </x:row>
    <x:row r="12" ht="24" customHeight="1">
      <x:c r="A12" s="65" t="str">
        <x:v>SGP-008</x:v>
      </x:c>
      <x:c r="B12" s="66" t="n">
        <x:v>8</x:v>
      </x:c>
      <x:c r="C12" s="67" t="str">
        <x:v>Kanishk Karan</x:v>
      </x:c>
      <x:c r="D12" s="68" t="str">
        <x:v>On course</x:v>
      </x:c>
      <x:c r="E12" s="69" t="n">
        <x:v>8</x:v>
      </x:c>
      <x:c r="F12" s="69" t="n">
        <x:v>9</x:v>
      </x:c>
      <x:c r="G12" s="70" t="n">
        <x:v>0.03553240740740741</x:v>
      </x:c>
      <x:c r="H12" s="70" t="n">
        <x:v>0.03456018518518519</x:v>
      </x:c>
      <x:c r="I12" s="71" t="n">
        <x:f>IF(H12="","",TIME(1,0,0)-H12)</x:f>
        <x:v>0.0071064814814814775</x:v>
      </x:c>
      <x:c r="J12" s="72" t="n">
        <x:f>E12*6.7056</x:f>
        <x:v>53.6448</x:v>
      </x:c>
      <x:c r="K12" s="73" t="n">
        <x:v>0.49</x:v>
      </x:c>
      <x:c r="L12" s="74" t="n">
        <x:v>46313.08888888889</x:v>
      </x:c>
      <x:c r="M12" s="88" t="str"/>
    </x:row>
    <x:row r="13" ht="24" customHeight="1">
      <x:c r="A13" s="65" t="str">
        <x:v>SGP-009</x:v>
      </x:c>
      <x:c r="B13" s="66" t="n">
        <x:v>9</x:v>
      </x:c>
      <x:c r="C13" s="67" t="str">
        <x:v>Zenton Yarm</x:v>
      </x:c>
      <x:c r="D13" s="68" t="str">
        <x:v>In corral</x:v>
      </x:c>
      <x:c r="E13" s="69" t="n">
        <x:v>8</x:v>
      </x:c>
      <x:c r="F13" s="69" t="n">
        <x:v>9</x:v>
      </x:c>
      <x:c r="G13" s="70" t="n">
        <x:v>0.030532407407407407</x:v>
      </x:c>
      <x:c r="H13" s="70" t="n">
        <x:v>0.03170138888888889</x:v>
      </x:c>
      <x:c r="I13" s="71" t="n">
        <x:f>IF(H13="","",TIME(1,0,0)-H13)</x:f>
        <x:v>0.009965277777777774</x:v>
      </x:c>
      <x:c r="J13" s="72" t="n">
        <x:f>E13*6.7056</x:f>
        <x:v>53.6448</x:v>
      </x:c>
      <x:c r="K13" s="73" t="n">
        <x:v>1</x:v>
      </x:c>
      <x:c r="L13" s="74" t="n">
        <x:v>46313.08611111111</x:v>
      </x:c>
      <x:c r="M13" s="88" t="str"/>
    </x:row>
    <x:row r="14" ht="24" customHeight="1">
      <x:c r="A14" s="65" t="str">
        <x:v>SGP-010</x:v>
      </x:c>
      <x:c r="B14" s="66" t="n">
        <x:v>10</x:v>
      </x:c>
      <x:c r="C14" s="67" t="str">
        <x:v>Lem Chee Ng</x:v>
      </x:c>
      <x:c r="D14" s="68" t="str">
        <x:v>Out</x:v>
      </x:c>
      <x:c r="E14" s="69" t="n">
        <x:v>6</x:v>
      </x:c>
      <x:c r="F14" s="69" t="n">
        <x:v>7</x:v>
      </x:c>
      <x:c r="G14" s="70" t="n">
        <x:v>0.04075231481481482</x:v>
      </x:c>
      <x:c r="H14" s="70" t="n">
        <x:v>0.03636574074074074</x:v>
      </x:c>
      <x:c r="I14" s="71" t="n">
        <x:f>IF(H14="","",TIME(1,0,0)-H14)</x:f>
        <x:v>0.005300925925925924</x:v>
      </x:c>
      <x:c r="J14" s="72" t="n">
        <x:f>E14*6.7056</x:f>
        <x:v>40.233599999999996</x:v>
      </x:c>
      <x:c r="K14" s="73" t="n">
        <x:v>1</x:v>
      </x:c>
      <x:c r="L14" s="74" t="n">
        <x:v>46313.04075231482</x:v>
      </x:c>
      <x:c r="M14" s="88" t="str">
        <x:v>Stopped after yard 6</x:v>
      </x:c>
    </x:row>
    <x:row r="15" ht="24" customHeight="1">
      <x:c r="A15" s="65" t="str">
        <x:v>SGP-011</x:v>
      </x:c>
      <x:c r="B15" s="66" t="n">
        <x:v>11</x:v>
      </x:c>
      <x:c r="C15" s="67" t="str">
        <x:v>Glenn Lee</x:v>
      </x:c>
      <x:c r="D15" s="68" t="str">
        <x:v>On course</x:v>
      </x:c>
      <x:c r="E15" s="69" t="n">
        <x:v>8</x:v>
      </x:c>
      <x:c r="F15" s="69" t="n">
        <x:v>9</x:v>
      </x:c>
      <x:c r="G15" s="70" t="n">
        <x:v>0.03377314814814815</x:v>
      </x:c>
      <x:c r="H15" s="70" t="n">
        <x:v>0.033229166666666664</x:v>
      </x:c>
      <x:c r="I15" s="71" t="n">
        <x:f>IF(H15="","",TIME(1,0,0)-H15)</x:f>
        <x:v>0.0084375</x:v>
      </x:c>
      <x:c r="J15" s="72" t="n">
        <x:f>E15*6.7056</x:f>
        <x:v>53.6448</x:v>
      </x:c>
      <x:c r="K15" s="73" t="n">
        <x:v>0.63</x:v>
      </x:c>
      <x:c r="L15" s="74" t="n">
        <x:v>46313.08888888889</x:v>
      </x:c>
      <x:c r="M15" s="88" t="str"/>
    </x:row>
    <x:row r="16" ht="24" customHeight="1">
      <x:c r="A16" s="65" t="str">
        <x:v>SGP-012</x:v>
      </x:c>
      <x:c r="B16" s="66" t="n">
        <x:v>12</x:v>
      </x:c>
      <x:c r="C16" s="67" t="str">
        <x:v>Lee Kok Cheu</x:v>
      </x:c>
      <x:c r="D16" s="68" t="str">
        <x:v>On course</x:v>
      </x:c>
      <x:c r="E16" s="69" t="n">
        <x:v>8</x:v>
      </x:c>
      <x:c r="F16" s="69" t="n">
        <x:v>9</x:v>
      </x:c>
      <x:c r="G16" s="70" t="n">
        <x:v>0.036145833333333335</x:v>
      </x:c>
      <x:c r="H16" s="70" t="n">
        <x:v>0.034861111111111114</x:v>
      </x:c>
      <x:c r="I16" s="71" t="n">
        <x:f>IF(H16="","",TIME(1,0,0)-H16)</x:f>
        <x:v>0.006805555555555551</x:v>
      </x:c>
      <x:c r="J16" s="72" t="n">
        <x:f>E16*6.7056</x:f>
        <x:v>53.6448</x:v>
      </x:c>
      <x:c r="K16" s="73" t="n">
        <x:v>0.46</x:v>
      </x:c>
      <x:c r="L16" s="74" t="n">
        <x:v>46313.08888888889</x:v>
      </x:c>
      <x:c r="M16" s="88" t="str"/>
    </x:row>
    <x:row r="17" ht="24" customHeight="1">
      <x:c r="A17" s="65" t="str">
        <x:v>SGP-013</x:v>
      </x:c>
      <x:c r="B17" s="66" t="n">
        <x:v>13</x:v>
      </x:c>
      <x:c r="C17" s="67" t="str">
        <x:v>Leong Foo Fatt</x:v>
      </x:c>
      <x:c r="D17" s="68" t="str">
        <x:v>Out</x:v>
      </x:c>
      <x:c r="E17" s="69" t="n">
        <x:v>7</x:v>
      </x:c>
      <x:c r="F17" s="69" t="n">
        <x:v>8</x:v>
      </x:c>
      <x:c r="G17" s="70" t="n">
        <x:v>0.04121527777777778</x:v>
      </x:c>
      <x:c r="H17" s="70" t="n">
        <x:v>0.036898148148148145</x:v>
      </x:c>
      <x:c r="I17" s="71" t="n">
        <x:f>IF(H17="","",TIME(1,0,0)-H17)</x:f>
        <x:v>0.004768518518518519</x:v>
      </x:c>
      <x:c r="J17" s="72" t="n">
        <x:f>E17*6.7056</x:f>
        <x:v>46.9392</x:v>
      </x:c>
      <x:c r="K17" s="73" t="n">
        <x:v>1</x:v>
      </x:c>
      <x:c r="L17" s="74" t="n">
        <x:v>46313.08288194444</x:v>
      </x:c>
      <x:c r="M17" s="88" t="str">
        <x:v>Stopped after yard 7</x:v>
      </x:c>
    </x:row>
    <x:row r="18" ht="24" customHeight="1">
      <x:c r="A18" s="65" t="str">
        <x:v>SGP-014</x:v>
      </x:c>
      <x:c r="B18" s="66" t="n">
        <x:v>14</x:v>
      </x:c>
      <x:c r="C18" s="67" t="str">
        <x:v>Quek Kok Kwang</x:v>
      </x:c>
      <x:c r="D18" s="68" t="str">
        <x:v>On course</x:v>
      </x:c>
      <x:c r="E18" s="69" t="n">
        <x:v>8</x:v>
      </x:c>
      <x:c r="F18" s="69" t="n">
        <x:v>9</x:v>
      </x:c>
      <x:c r="G18" s="70" t="n">
        <x:v>0.03453703703703704</x:v>
      </x:c>
      <x:c r="H18" s="70" t="n">
        <x:v>0.03396990740740741</x:v>
      </x:c>
      <x:c r="I18" s="71" t="n">
        <x:f>IF(H18="","",TIME(1,0,0)-H18)</x:f>
        <x:v>0.007696759259259257</x:v>
      </x:c>
      <x:c r="J18" s="72" t="n">
        <x:f>E18*6.7056</x:f>
        <x:v>53.6448</x:v>
      </x:c>
      <x:c r="K18" s="73" t="n">
        <x:v>0.57</x:v>
      </x:c>
      <x:c r="L18" s="74" t="n">
        <x:v>46313.08888888889</x:v>
      </x:c>
      <x:c r="M18" s="88" t="str"/>
    </x:row>
    <x:row r="19" ht="24" customHeight="1">
      <x:c r="A19" s="76" t="str">
        <x:v>SGP-015</x:v>
      </x:c>
      <x:c r="B19" s="77" t="n">
        <x:v>15</x:v>
      </x:c>
      <x:c r="C19" s="78" t="str">
        <x:v>Tan Qi Wei</x:v>
      </x:c>
      <x:c r="D19" s="79" t="str">
        <x:v>Out</x:v>
      </x:c>
      <x:c r="E19" s="80" t="n">
        <x:v>5</x:v>
      </x:c>
      <x:c r="F19" s="80" t="n">
        <x:v>6</x:v>
      </x:c>
      <x:c r="G19" s="81" t="n">
        <x:v>0.03995370370370371</x:v>
      </x:c>
      <x:c r="H19" s="81" t="n">
        <x:v>0.03596064814814815</x:v>
      </x:c>
      <x:c r="I19" s="82" t="n">
        <x:f>IF(H19="","",TIME(1,0,0)-H19)</x:f>
        <x:v>0.005706018518518513</x:v>
      </x:c>
      <x:c r="J19" s="83" t="n">
        <x:f>E19*6.7056</x:f>
        <x:v>33.528</x:v>
      </x:c>
      <x:c r="K19" s="84" t="n">
        <x:v>1</x:v>
      </x:c>
      <x:c r="L19" s="85" t="n">
        <x:v>46312.99828703704</x:v>
      </x:c>
      <x:c r="M19" s="89" t="str">
        <x:v>Stopped after yard 5</x:v>
      </x:c>
    </x:row>
  </x:sheetData>
  <x:mergeCells>
    <x:mergeCell ref="A1:M1"/>
    <x:mergeCell ref="A2:M2"/>
  </x:mergeCells>
  <x:conditionalFormatting sqref="D5:D19">
    <x:cfRule type="containsText" dxfId="0" priority="1" operator="containsText" text="On course"/>
    <x:cfRule type="containsText" dxfId="1" priority="2" operator="containsText" text="In corral"/>
    <x:cfRule type="containsText" dxfId="2" priority="3" operator="containsText" text="Out"/>
  </x:conditionalFormatting>
  <x:conditionalFormatting sqref="K5:K19">
    <x:cfRule type="dataBar" priority="4">
      <x:dataBar>
        <x:cfvo type="min"/>
        <x:cfvo type="max"/>
        <x:color rgb="FFC7FF18"/>
      </x:dataBar>
      <x:extLst>
        <x:ext xmlns:x14="http://schemas.microsoft.com/office/spreadsheetml/2009/9/main" uri="{B025F937-C7B1-47D3-B67F-A62EFF666E3E}">
          <x14:id>{F69AA22E-E144-5DDD-B2E9-1D0EF810B6F3}</x14:id>
        </x:ext>
      </x:extLst>
    </x:cfRule>
  </x:conditionalFormatting>
  <x:dataValidations count="1">
    <x:dataValidation type="list" sqref="D5:D19">
      <x:formula1>"On course,In corral,Out,DNS"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8c6959ab1a4b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69AA22E-E144-5DDD-B2E9-1D0EF810B6F3}">
            <x14:dataBar gradient="0">
              <x14:cfvo type="min"/>
              <x14:cfvo type="max"/>
              <x14:fillColor rgb="FFC7FF18"/>
            </x14:dataBar>
          </x14:cfRule>
          <xm:sqref>K5:K19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779998779296875" hidden="0" customWidth="1"/>
    <x:col min="2" max="2" width="3.109999895095825" hidden="0" customWidth="1"/>
    <x:col min="3" max="3" width="22" hidden="0" customWidth="1"/>
    <x:col min="4" max="4" width="4.110000133514404" hidden="0" customWidth="1"/>
    <x:col min="5" max="5" width="7.670000076293945" hidden="0" customWidth="1"/>
    <x:col min="6" max="6" width="15.670000076293945" hidden="0" customWidth="1"/>
    <x:col min="7" max="7" width="8" hidden="0" customWidth="1"/>
    <x:col min="8" max="8" width="26" hidden="0" customWidth="1"/>
  </x:cols>
  <x:sheetData>
    <x:row r="1" ht="32" customHeight="1">
      <x:c r="A1" s="90" t="str">
        <x:v>LAP LOG · OPTIONAL AUDIT TRAIL</x:v>
      </x:c>
      <x:c r="B1" s="90"/>
      <x:c r="C1" s="90"/>
      <x:c r="D1" s="90"/>
      <x:c r="E1" s="90"/>
      <x:c r="F1" s="90"/>
      <x:c r="G1" s="90"/>
      <x:c r="H1" s="90"/>
    </x:row>
    <x:row r="3" ht="30" customHeight="1">
      <x:c r="A3" s="6" t="str">
        <x:v>Athlete ID</x:v>
      </x:c>
      <x:c r="B3" s="6" t="str">
        <x:v>Bib</x:v>
      </x:c>
      <x:c r="C3" s="6" t="str">
        <x:v>Athlete</x:v>
      </x:c>
      <x:c r="D3" s="6" t="str">
        <x:v>Yard</x:v>
      </x:c>
      <x:c r="E3" s="6" t="str">
        <x:v>Lap Time</x:v>
      </x:c>
      <x:c r="F3" s="6" t="str">
        <x:v>Finish Time</x:v>
      </x:c>
      <x:c r="G3" s="6" t="str">
        <x:v>Status</x:v>
      </x:c>
      <x:c r="H3" s="6" t="str">
        <x:v>Note</x:v>
      </x:c>
    </x:row>
    <x:row r="4" ht="23" customHeight="1">
      <x:c r="A4" s="15" t="str">
        <x:v>SGP-001</x:v>
      </x:c>
      <x:c r="B4" s="16" t="n">
        <x:v>1</x:v>
      </x:c>
      <x:c r="C4" s="16" t="str">
        <x:v>Joshua Toh</x:v>
      </x:c>
      <x:c r="D4" s="30" t="n">
        <x:v>8</x:v>
      </x:c>
      <x:c r="E4" s="37" t="n">
        <x:v>0.03215277777777778</x:v>
      </x:c>
      <x:c r="F4" s="91" t="n">
        <x:v>46313.08888888889</x:v>
      </x:c>
      <x:c r="G4" s="16" t="str">
        <x:v>On course</x:v>
      </x:c>
      <x:c r="H4" s="17" t="str"/>
    </x:row>
    <x:row r="5" ht="23" customHeight="1">
      <x:c r="A5" s="18" t="str">
        <x:v>SGP-002</x:v>
      </x:c>
      <x:c r="B5" s="19" t="n">
        <x:v>2</x:v>
      </x:c>
      <x:c r="C5" s="19" t="str">
        <x:v>Nguyen Dang Trung</x:v>
      </x:c>
      <x:c r="D5" s="31" t="n">
        <x:v>8</x:v>
      </x:c>
      <x:c r="E5" s="39" t="n">
        <x:v>0.031157407407407408</x:v>
      </x:c>
      <x:c r="F5" s="92" t="n">
        <x:v>46313.086805555555</x:v>
      </x:c>
      <x:c r="G5" s="19" t="str">
        <x:v>In corral</x:v>
      </x:c>
      <x:c r="H5" s="20" t="str">
        <x:v>Ready for next bell</x:v>
      </x:c>
    </x:row>
    <x:row r="6" ht="23" customHeight="1">
      <x:c r="A6" s="18" t="str">
        <x:v>SGP-003</x:v>
      </x:c>
      <x:c r="B6" s="19" t="n">
        <x:v>3</x:v>
      </x:c>
      <x:c r="C6" s="19" t="str">
        <x:v>Ned Phillips</x:v>
      </x:c>
      <x:c r="D6" s="31" t="n">
        <x:v>8</x:v>
      </x:c>
      <x:c r="E6" s="39" t="n">
        <x:v>0.033414351851851855</x:v>
      </x:c>
      <x:c r="F6" s="92" t="n">
        <x:v>46313.08888888889</x:v>
      </x:c>
      <x:c r="G6" s="19" t="str">
        <x:v>On course</x:v>
      </x:c>
      <x:c r="H6" s="20" t="str"/>
    </x:row>
    <x:row r="7" ht="23" customHeight="1">
      <x:c r="A7" s="18" t="str">
        <x:v>SGP-004</x:v>
      </x:c>
      <x:c r="B7" s="19" t="n">
        <x:v>4</x:v>
      </x:c>
      <x:c r="C7" s="19" t="str">
        <x:v>Chris Timms</x:v>
      </x:c>
      <x:c r="D7" s="31" t="n">
        <x:v>8</x:v>
      </x:c>
      <x:c r="E7" s="39" t="n">
        <x:v>0.034166666666666665</x:v>
      </x:c>
      <x:c r="F7" s="92" t="n">
        <x:v>46313.08888888889</x:v>
      </x:c>
      <x:c r="G7" s="19" t="str">
        <x:v>On course</x:v>
      </x:c>
      <x:c r="H7" s="20" t="str"/>
    </x:row>
    <x:row r="8" ht="23" customHeight="1">
      <x:c r="A8" s="18" t="str">
        <x:v>SGP-005</x:v>
      </x:c>
      <x:c r="B8" s="19" t="n">
        <x:v>5</x:v>
      </x:c>
      <x:c r="C8" s="19" t="str">
        <x:v>Andrey Kolbasov</x:v>
      </x:c>
      <x:c r="D8" s="31" t="n">
        <x:v>8</x:v>
      </x:c>
      <x:c r="E8" s="39" t="n">
        <x:v>0.03175925925925926</x:v>
      </x:c>
      <x:c r="F8" s="92" t="n">
        <x:v>46313.0875</x:v>
      </x:c>
      <x:c r="G8" s="19" t="str">
        <x:v>In corral</x:v>
      </x:c>
      <x:c r="H8" s="20" t="str"/>
    </x:row>
    <x:row r="9" ht="23" customHeight="1">
      <x:c r="A9" s="18" t="str">
        <x:v>SGP-006</x:v>
      </x:c>
      <x:c r="B9" s="19" t="n">
        <x:v>6</x:v>
      </x:c>
      <x:c r="C9" s="19" t="str">
        <x:v>Khoo Houw Ann</x:v>
      </x:c>
      <x:c r="D9" s="31" t="n">
        <x:v>8</x:v>
      </x:c>
      <x:c r="E9" s="39" t="n">
        <x:v>0.03502314814814815</x:v>
      </x:c>
      <x:c r="F9" s="92" t="n">
        <x:v>46313.08888888889</x:v>
      </x:c>
      <x:c r="G9" s="19" t="str">
        <x:v>On course</x:v>
      </x:c>
      <x:c r="H9" s="20" t="str"/>
    </x:row>
    <x:row r="10" ht="23" customHeight="1">
      <x:c r="A10" s="18" t="str">
        <x:v>SGP-007</x:v>
      </x:c>
      <x:c r="B10" s="19" t="n">
        <x:v>7</x:v>
      </x:c>
      <x:c r="C10" s="19" t="str">
        <x:v>Sophia Yee</x:v>
      </x:c>
      <x:c r="D10" s="31" t="n">
        <x:v>8</x:v>
      </x:c>
      <x:c r="E10" s="39" t="n">
        <x:v>0.033275462962962965</x:v>
      </x:c>
      <x:c r="F10" s="92" t="n">
        <x:v>46313.08888888889</x:v>
      </x:c>
      <x:c r="G10" s="19" t="str">
        <x:v>On course</x:v>
      </x:c>
      <x:c r="H10" s="20" t="str"/>
    </x:row>
    <x:row r="11" ht="23" customHeight="1">
      <x:c r="A11" s="18" t="str">
        <x:v>SGP-008</x:v>
      </x:c>
      <x:c r="B11" s="19" t="n">
        <x:v>8</x:v>
      </x:c>
      <x:c r="C11" s="19" t="str">
        <x:v>Kanishk Karan</x:v>
      </x:c>
      <x:c r="D11" s="31" t="n">
        <x:v>8</x:v>
      </x:c>
      <x:c r="E11" s="39" t="n">
        <x:v>0.03553240740740741</x:v>
      </x:c>
      <x:c r="F11" s="92" t="n">
        <x:v>46313.08888888889</x:v>
      </x:c>
      <x:c r="G11" s="19" t="str">
        <x:v>On course</x:v>
      </x:c>
      <x:c r="H11" s="20" t="str"/>
    </x:row>
    <x:row r="12" ht="23" customHeight="1">
      <x:c r="A12" s="18" t="str">
        <x:v>SGP-009</x:v>
      </x:c>
      <x:c r="B12" s="19" t="n">
        <x:v>9</x:v>
      </x:c>
      <x:c r="C12" s="19" t="str">
        <x:v>Zenton Yarm</x:v>
      </x:c>
      <x:c r="D12" s="31" t="n">
        <x:v>8</x:v>
      </x:c>
      <x:c r="E12" s="39" t="n">
        <x:v>0.030532407407407407</x:v>
      </x:c>
      <x:c r="F12" s="92" t="n">
        <x:v>46313.08611111111</x:v>
      </x:c>
      <x:c r="G12" s="19" t="str">
        <x:v>In corral</x:v>
      </x:c>
      <x:c r="H12" s="20" t="str"/>
    </x:row>
    <x:row r="13" ht="23" customHeight="1">
      <x:c r="A13" s="18" t="str">
        <x:v>SGP-010</x:v>
      </x:c>
      <x:c r="B13" s="19" t="n">
        <x:v>10</x:v>
      </x:c>
      <x:c r="C13" s="19" t="str">
        <x:v>Lem Chee Ng</x:v>
      </x:c>
      <x:c r="D13" s="31" t="n">
        <x:v>6</x:v>
      </x:c>
      <x:c r="E13" s="39" t="n">
        <x:v>0.04075231481481482</x:v>
      </x:c>
      <x:c r="F13" s="92" t="n">
        <x:v>46313.04075231482</x:v>
      </x:c>
      <x:c r="G13" s="19" t="str">
        <x:v>Out</x:v>
      </x:c>
      <x:c r="H13" s="20" t="str">
        <x:v>Stopped after yard 6</x:v>
      </x:c>
    </x:row>
    <x:row r="14" ht="23" customHeight="1">
      <x:c r="A14" s="18" t="str">
        <x:v>SGP-011</x:v>
      </x:c>
      <x:c r="B14" s="19" t="n">
        <x:v>11</x:v>
      </x:c>
      <x:c r="C14" s="19" t="str">
        <x:v>Glenn Lee</x:v>
      </x:c>
      <x:c r="D14" s="31" t="n">
        <x:v>8</x:v>
      </x:c>
      <x:c r="E14" s="39" t="n">
        <x:v>0.03377314814814815</x:v>
      </x:c>
      <x:c r="F14" s="92" t="n">
        <x:v>46313.08888888889</x:v>
      </x:c>
      <x:c r="G14" s="19" t="str">
        <x:v>On course</x:v>
      </x:c>
      <x:c r="H14" s="20" t="str"/>
    </x:row>
    <x:row r="15" ht="23" customHeight="1">
      <x:c r="A15" s="18" t="str">
        <x:v>SGP-012</x:v>
      </x:c>
      <x:c r="B15" s="19" t="n">
        <x:v>12</x:v>
      </x:c>
      <x:c r="C15" s="19" t="str">
        <x:v>Lee Kok Cheu</x:v>
      </x:c>
      <x:c r="D15" s="31" t="n">
        <x:v>8</x:v>
      </x:c>
      <x:c r="E15" s="39" t="n">
        <x:v>0.036145833333333335</x:v>
      </x:c>
      <x:c r="F15" s="92" t="n">
        <x:v>46313.08888888889</x:v>
      </x:c>
      <x:c r="G15" s="19" t="str">
        <x:v>On course</x:v>
      </x:c>
      <x:c r="H15" s="20" t="str"/>
    </x:row>
    <x:row r="16" ht="23" customHeight="1">
      <x:c r="A16" s="18" t="str">
        <x:v>SGP-013</x:v>
      </x:c>
      <x:c r="B16" s="19" t="n">
        <x:v>13</x:v>
      </x:c>
      <x:c r="C16" s="19" t="str">
        <x:v>Leong Foo Fatt</x:v>
      </x:c>
      <x:c r="D16" s="31" t="n">
        <x:v>7</x:v>
      </x:c>
      <x:c r="E16" s="39" t="n">
        <x:v>0.04121527777777778</x:v>
      </x:c>
      <x:c r="F16" s="92" t="n">
        <x:v>46313.08288194444</x:v>
      </x:c>
      <x:c r="G16" s="19" t="str">
        <x:v>Out</x:v>
      </x:c>
      <x:c r="H16" s="20" t="str">
        <x:v>Stopped after yard 7</x:v>
      </x:c>
    </x:row>
    <x:row r="17" ht="23" customHeight="1">
      <x:c r="A17" s="18" t="str">
        <x:v>SGP-014</x:v>
      </x:c>
      <x:c r="B17" s="19" t="n">
        <x:v>14</x:v>
      </x:c>
      <x:c r="C17" s="19" t="str">
        <x:v>Quek Kok Kwang</x:v>
      </x:c>
      <x:c r="D17" s="31" t="n">
        <x:v>8</x:v>
      </x:c>
      <x:c r="E17" s="39" t="n">
        <x:v>0.03453703703703704</x:v>
      </x:c>
      <x:c r="F17" s="92" t="n">
        <x:v>46313.08888888889</x:v>
      </x:c>
      <x:c r="G17" s="19" t="str">
        <x:v>On course</x:v>
      </x:c>
      <x:c r="H17" s="20" t="str"/>
    </x:row>
    <x:row r="18" ht="23" customHeight="1">
      <x:c r="A18" s="21" t="str">
        <x:v>SGP-015</x:v>
      </x:c>
      <x:c r="B18" s="22" t="n">
        <x:v>15</x:v>
      </x:c>
      <x:c r="C18" s="22" t="str">
        <x:v>Tan Qi Wei</x:v>
      </x:c>
      <x:c r="D18" s="32" t="n">
        <x:v>5</x:v>
      </x:c>
      <x:c r="E18" s="41" t="n">
        <x:v>0.03995370370370371</x:v>
      </x:c>
      <x:c r="F18" s="93" t="n">
        <x:v>46312.99828703704</x:v>
      </x:c>
      <x:c r="G18" s="22" t="str">
        <x:v>Out</x:v>
      </x:c>
      <x:c r="H18" s="23" t="str">
        <x:v>Stopped after yard 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1d8b5bcaddd42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2" hidden="0" customWidth="1"/>
  </x:cols>
  <x:sheetData>
    <x:row r="1" ht="34" customHeight="1">
      <x:c r="A1" s="2" t="str">
        <x:v>LIVE TRACKING · SETUP GUIDE</x:v>
      </x:c>
      <x:c r="B1" s="2"/>
      <x:c r="C1" s="2"/>
      <x:c r="D1" s="2"/>
      <x:c r="E1" s="2"/>
      <x:c r="F1" s="2"/>
    </x:row>
    <x:row r="3">
      <x:c r="A3" s="96" t="str">
        <x:v>1</x:v>
      </x:c>
      <x:c r="B3" s="99" t="str">
        <x:v>Use the Live Results tab as the website feed. Keep its column names unchanged.</x:v>
      </x:c>
    </x:row>
    <x:row r="4">
      <x:c r="A4" s="96" t="str">
        <x:v>2</x:v>
      </x:c>
      <x:c r="B4" s="99" t="str">
        <x:v>Upload this workbook to Google Sheets, or copy the Live Results tab into an existing Sheet.</x:v>
      </x:c>
    </x:row>
    <x:row r="5">
      <x:c r="A5" s="96" t="str">
        <x:v>3</x:v>
      </x:c>
      <x:c r="B5" s="99" t="str">
        <x:v>In Google Sheets: File → Share → Publish to web → Live Results → CSV.</x:v>
      </x:c>
    </x:row>
    <x:row r="6">
      <x:c r="A6" s="96" t="str">
        <x:v>4</x:v>
      </x:c>
      <x:c r="B6" s="99" t="str">
        <x:v>Copy the published CSV URL and add it to the website as SHEET_CSV_URL.</x:v>
      </x:c>
    </x:row>
    <x:row r="7">
      <x:c r="A7" s="96" t="str">
        <x:v>5</x:v>
      </x:c>
      <x:c r="B7" s="99" t="str">
        <x:v>During the race, edit only the pale-yellow input columns: Status, Yards, Current Yard, Last Lap, Average Lap, Course Progress, Updated At and Note.</x:v>
      </x:c>
    </x:row>
    <x:row r="8">
      <x:c r="A8" s="96" t="str">
        <x:v>6</x:v>
      </x:c>
      <x:c r="B8" s="99" t="str">
        <x:v>The website recalculates order automatically: active runners first, then yards completed, then fastest average lap.</x:v>
      </x:c>
    </x:row>
    <x:row r="9">
      <x:c r="A9" s="96" t="str">
        <x:v>7</x:v>
      </x:c>
      <x:c r="B9" s="99" t="str">
        <x:v>Keep times in mm:ss or hh:mm:ss. Use Course Progress as a percentage from 0% to 100%.</x:v>
      </x:c>
    </x:row>
    <x:row r="11" ht="28" customHeight="1">
      <x:c r="A11" s="6" t="str">
        <x:v>TEST MODE</x:v>
      </x:c>
      <x:c r="B11" s="6"/>
      <x:c r="C11" s="6"/>
      <x:c r="D11" s="6"/>
      <x:c r="E11" s="6"/>
      <x:c r="F11" s="6"/>
    </x:row>
    <x:row r="12" ht="28" customHeight="1">
      <x:c r="A12" s="101" t="str">
        <x:v>The website includes the same sample rows locally, allowing the table and map to be tested before a published Google Sheet is connected.</x:v>
      </x:c>
      <x:c r="B12" s="101"/>
      <x:c r="C12" s="101"/>
      <x:c r="D12" s="101"/>
      <x:c r="E12" s="101"/>
      <x:c r="F12" s="101"/>
    </x:row>
    <x:row r="13" ht="28" customHeight="1">
      <x:c r="A13" s="101"/>
      <x:c r="B13" s="101"/>
      <x:c r="C13" s="101"/>
      <x:c r="D13" s="101"/>
      <x:c r="E13" s="101"/>
      <x:c r="F13" s="101"/>
    </x:row>
  </x:sheetData>
  <x:mergeCells>
    <x:mergeCell ref="A1:F1"/>
    <x:mergeCell ref="A11:F11"/>
    <x:mergeCell ref="A12:F12"/>
    <x:mergeCell ref="A13:F13"/>
  </x:mergeCells>
  <x:pageMargins left="0.7" right="0.7" top="0.75" bottom="0.75" header="0.3" footer="0.3"/>
</x:worksheet>
</file>